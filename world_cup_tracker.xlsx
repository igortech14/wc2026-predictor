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gor\Projects\wc-predictor\"/>
    </mc:Choice>
  </mc:AlternateContent>
  <xr:revisionPtr revIDLastSave="0" documentId="13_ncr:1_{29B90203-A5C5-43B5-87B1-3942E9FB31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 Cup B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 s="1"/>
  <c r="I2" i="1" s="1"/>
  <c r="H3" i="1" l="1"/>
  <c r="I3" i="1" s="1"/>
  <c r="F4" i="1" l="1"/>
  <c r="H4" i="1" s="1"/>
  <c r="I4" i="1" s="1"/>
  <c r="F5" i="1" l="1"/>
  <c r="H5" i="1" s="1"/>
  <c r="I5" i="1" s="1"/>
  <c r="F6" i="1" l="1"/>
  <c r="H6" i="1" s="1"/>
  <c r="I6" i="1" s="1"/>
  <c r="F7" i="1" l="1"/>
  <c r="H7" i="1" s="1"/>
  <c r="I7" i="1" s="1"/>
  <c r="F8" i="1" l="1"/>
  <c r="H8" i="1" s="1"/>
  <c r="I8" i="1" s="1"/>
  <c r="F9" i="1" l="1"/>
  <c r="H9" i="1" s="1"/>
  <c r="I9" i="1" s="1"/>
  <c r="F10" i="1" l="1"/>
  <c r="H10" i="1" s="1"/>
  <c r="I10" i="1" s="1"/>
  <c r="F11" i="1" l="1"/>
  <c r="H11" i="1" s="1"/>
  <c r="I11" i="1" s="1"/>
  <c r="F12" i="1" l="1"/>
  <c r="H12" i="1" s="1"/>
  <c r="I12" i="1" s="1"/>
  <c r="F13" i="1" l="1"/>
  <c r="H13" i="1" s="1"/>
  <c r="I13" i="1" s="1"/>
  <c r="F14" i="1" l="1"/>
  <c r="H14" i="1" s="1"/>
  <c r="I14" i="1" s="1"/>
  <c r="F15" i="1" l="1"/>
  <c r="H15" i="1" s="1"/>
  <c r="I15" i="1" s="1"/>
  <c r="F16" i="1" l="1"/>
  <c r="H16" i="1" s="1"/>
  <c r="I16" i="1" s="1"/>
  <c r="F17" i="1" l="1"/>
  <c r="H17" i="1" s="1"/>
  <c r="I17" i="1" s="1"/>
  <c r="F18" i="1" l="1"/>
  <c r="H18" i="1" s="1"/>
  <c r="I18" i="1" s="1"/>
  <c r="F19" i="1" l="1"/>
  <c r="H19" i="1" s="1"/>
  <c r="I19" i="1" s="1"/>
  <c r="F20" i="1" l="1"/>
  <c r="H20" i="1" s="1"/>
  <c r="I20" i="1" s="1"/>
  <c r="F21" i="1" l="1"/>
  <c r="H21" i="1" s="1"/>
  <c r="I21" i="1" s="1"/>
  <c r="F22" i="1" l="1"/>
  <c r="H22" i="1" s="1"/>
  <c r="I22" i="1" s="1"/>
  <c r="F23" i="1" l="1"/>
  <c r="H23" i="1" s="1"/>
  <c r="I23" i="1" s="1"/>
  <c r="F24" i="1" l="1"/>
  <c r="H24" i="1" s="1"/>
  <c r="I24" i="1" s="1"/>
  <c r="F25" i="1" l="1"/>
  <c r="H25" i="1" s="1"/>
  <c r="I25" i="1" s="1"/>
  <c r="F26" i="1" l="1"/>
  <c r="H26" i="1" s="1"/>
  <c r="I26" i="1" s="1"/>
  <c r="F27" i="1" l="1"/>
  <c r="H27" i="1" s="1"/>
  <c r="I27" i="1" s="1"/>
  <c r="F28" i="1" l="1"/>
  <c r="H28" i="1" s="1"/>
  <c r="I28" i="1" s="1"/>
  <c r="F29" i="1" l="1"/>
  <c r="H29" i="1" s="1"/>
  <c r="I29" i="1" s="1"/>
  <c r="F30" i="1" l="1"/>
  <c r="H30" i="1" s="1"/>
  <c r="I30" i="1" s="1"/>
  <c r="F31" i="1" l="1"/>
  <c r="H31" i="1" s="1"/>
  <c r="I31" i="1" s="1"/>
  <c r="F32" i="1" l="1"/>
  <c r="H32" i="1" s="1"/>
  <c r="I32" i="1" s="1"/>
  <c r="F33" i="1" l="1"/>
  <c r="H33" i="1" s="1"/>
  <c r="I33" i="1" s="1"/>
  <c r="F34" i="1" l="1"/>
  <c r="H34" i="1" s="1"/>
  <c r="I34" i="1" s="1"/>
  <c r="F35" i="1" l="1"/>
  <c r="H35" i="1" s="1"/>
  <c r="I35" i="1" s="1"/>
  <c r="F36" i="1" l="1"/>
  <c r="H36" i="1" s="1"/>
  <c r="I36" i="1" s="1"/>
  <c r="F37" i="1" l="1"/>
  <c r="H37" i="1" s="1"/>
  <c r="I37" i="1" s="1"/>
  <c r="F38" i="1" l="1"/>
  <c r="H38" i="1" s="1"/>
  <c r="I38" i="1" s="1"/>
  <c r="F39" i="1" l="1"/>
  <c r="H39" i="1" s="1"/>
  <c r="I39" i="1" s="1"/>
  <c r="F40" i="1" l="1"/>
  <c r="H40" i="1" s="1"/>
  <c r="I40" i="1" s="1"/>
  <c r="F41" i="1" l="1"/>
  <c r="H41" i="1" s="1"/>
  <c r="I41" i="1" s="1"/>
  <c r="F42" i="1" l="1"/>
  <c r="H42" i="1" s="1"/>
  <c r="I42" i="1" s="1"/>
  <c r="F43" i="1" l="1"/>
  <c r="H43" i="1" s="1"/>
  <c r="I43" i="1" s="1"/>
  <c r="F44" i="1" l="1"/>
  <c r="H44" i="1" s="1"/>
  <c r="I44" i="1" s="1"/>
  <c r="F45" i="1" l="1"/>
  <c r="H45" i="1" s="1"/>
  <c r="I45" i="1" s="1"/>
  <c r="F46" i="1" l="1"/>
  <c r="H46" i="1" s="1"/>
  <c r="I46" i="1" s="1"/>
  <c r="F47" i="1" l="1"/>
  <c r="H47" i="1" s="1"/>
  <c r="I47" i="1" s="1"/>
  <c r="F48" i="1" l="1"/>
  <c r="H48" i="1" s="1"/>
  <c r="I48" i="1" s="1"/>
  <c r="F49" i="1" l="1"/>
  <c r="H49" i="1" s="1"/>
  <c r="I49" i="1" s="1"/>
  <c r="F50" i="1" l="1"/>
  <c r="H50" i="1" s="1"/>
  <c r="I50" i="1" s="1"/>
  <c r="F51" i="1" l="1"/>
  <c r="H51" i="1" s="1"/>
  <c r="I51" i="1" s="1"/>
  <c r="F52" i="1" l="1"/>
  <c r="H52" i="1" s="1"/>
  <c r="I52" i="1" s="1"/>
  <c r="F53" i="1" l="1"/>
  <c r="H53" i="1" s="1"/>
  <c r="I53" i="1" s="1"/>
  <c r="F54" i="1" l="1"/>
  <c r="H54" i="1" s="1"/>
  <c r="I54" i="1" s="1"/>
  <c r="F55" i="1" l="1"/>
  <c r="H55" i="1" s="1"/>
  <c r="I55" i="1" s="1"/>
  <c r="F56" i="1" l="1"/>
  <c r="H56" i="1" s="1"/>
  <c r="I56" i="1" s="1"/>
  <c r="F57" i="1" l="1"/>
  <c r="H57" i="1" s="1"/>
  <c r="I57" i="1" s="1"/>
  <c r="F58" i="1" l="1"/>
  <c r="H58" i="1" s="1"/>
  <c r="I58" i="1" s="1"/>
  <c r="F59" i="1" l="1"/>
  <c r="H59" i="1" s="1"/>
  <c r="I59" i="1" s="1"/>
  <c r="F60" i="1" l="1"/>
  <c r="H60" i="1" s="1"/>
  <c r="I60" i="1" s="1"/>
  <c r="F61" i="1" l="1"/>
  <c r="H61" i="1" s="1"/>
  <c r="I61" i="1" s="1"/>
  <c r="F62" i="1" l="1"/>
  <c r="H62" i="1" s="1"/>
  <c r="I62" i="1" s="1"/>
  <c r="F63" i="1" l="1"/>
  <c r="H63" i="1" s="1"/>
  <c r="I63" i="1" s="1"/>
  <c r="F64" i="1" l="1"/>
  <c r="H64" i="1" s="1"/>
  <c r="I64" i="1" s="1"/>
  <c r="F65" i="1" l="1"/>
  <c r="H65" i="1" s="1"/>
  <c r="I65" i="1" s="1"/>
  <c r="F66" i="1" l="1"/>
  <c r="H66" i="1" s="1"/>
  <c r="I66" i="1" s="1"/>
  <c r="F67" i="1" l="1"/>
  <c r="H67" i="1" s="1"/>
  <c r="I67" i="1" s="1"/>
  <c r="F68" i="1" l="1"/>
  <c r="H68" i="1" s="1"/>
  <c r="I68" i="1" s="1"/>
  <c r="F69" i="1" l="1"/>
  <c r="H69" i="1" s="1"/>
  <c r="I69" i="1" s="1"/>
  <c r="F70" i="1" l="1"/>
  <c r="H70" i="1" s="1"/>
  <c r="I70" i="1" s="1"/>
  <c r="F71" i="1" l="1"/>
  <c r="H71" i="1" s="1"/>
  <c r="I71" i="1" s="1"/>
  <c r="F72" i="1" l="1"/>
  <c r="H72" i="1" s="1"/>
  <c r="I72" i="1" s="1"/>
  <c r="F73" i="1" l="1"/>
  <c r="H73" i="1" s="1"/>
  <c r="I73" i="1" s="1"/>
  <c r="F74" i="1" l="1"/>
  <c r="H74" i="1" s="1"/>
  <c r="I74" i="1" s="1"/>
  <c r="F75" i="1" l="1"/>
  <c r="H75" i="1" s="1"/>
  <c r="I75" i="1" s="1"/>
  <c r="F76" i="1" l="1"/>
  <c r="H76" i="1" s="1"/>
  <c r="I76" i="1" s="1"/>
  <c r="F77" i="1" l="1"/>
  <c r="H77" i="1" s="1"/>
  <c r="I77" i="1" s="1"/>
  <c r="F78" i="1" l="1"/>
  <c r="H78" i="1" s="1"/>
  <c r="I78" i="1" s="1"/>
  <c r="F79" i="1" l="1"/>
  <c r="H79" i="1" s="1"/>
  <c r="I79" i="1" s="1"/>
  <c r="F80" i="1" l="1"/>
  <c r="H80" i="1" s="1"/>
  <c r="I80" i="1" s="1"/>
  <c r="F81" i="1" l="1"/>
  <c r="H81" i="1" s="1"/>
  <c r="I81" i="1" s="1"/>
  <c r="F82" i="1" l="1"/>
  <c r="H82" i="1" s="1"/>
  <c r="I82" i="1" s="1"/>
  <c r="F83" i="1" l="1"/>
  <c r="H83" i="1" s="1"/>
  <c r="I83" i="1" s="1"/>
  <c r="F84" i="1" l="1"/>
  <c r="H84" i="1" s="1"/>
  <c r="I84" i="1" s="1"/>
  <c r="F85" i="1" l="1"/>
  <c r="H85" i="1" s="1"/>
  <c r="I85" i="1" s="1"/>
  <c r="F86" i="1" l="1"/>
  <c r="H86" i="1" s="1"/>
  <c r="I86" i="1" s="1"/>
  <c r="F87" i="1" l="1"/>
  <c r="H87" i="1" s="1"/>
  <c r="I87" i="1" s="1"/>
  <c r="F88" i="1" l="1"/>
  <c r="H88" i="1" s="1"/>
  <c r="I88" i="1" s="1"/>
  <c r="F89" i="1" l="1"/>
  <c r="H89" i="1" s="1"/>
  <c r="I89" i="1" s="1"/>
  <c r="F90" i="1" l="1"/>
  <c r="H90" i="1" s="1"/>
  <c r="I90" i="1" s="1"/>
  <c r="F91" i="1" l="1"/>
  <c r="H91" i="1" s="1"/>
  <c r="I91" i="1" s="1"/>
  <c r="F92" i="1" l="1"/>
  <c r="H92" i="1" s="1"/>
  <c r="I92" i="1" s="1"/>
  <c r="F93" i="1" l="1"/>
  <c r="H93" i="1" s="1"/>
  <c r="I93" i="1" s="1"/>
  <c r="F94" i="1" l="1"/>
  <c r="H94" i="1" s="1"/>
  <c r="I94" i="1" s="1"/>
  <c r="F95" i="1" l="1"/>
  <c r="H95" i="1" s="1"/>
  <c r="I95" i="1" s="1"/>
  <c r="F96" i="1" l="1"/>
  <c r="H96" i="1" s="1"/>
  <c r="I96" i="1" s="1"/>
  <c r="F97" i="1" l="1"/>
  <c r="H97" i="1" s="1"/>
  <c r="I97" i="1" s="1"/>
  <c r="F98" i="1" l="1"/>
  <c r="H98" i="1" s="1"/>
  <c r="I98" i="1" s="1"/>
  <c r="F99" i="1" l="1"/>
  <c r="H99" i="1" s="1"/>
  <c r="I99" i="1" s="1"/>
  <c r="F100" i="1" l="1"/>
  <c r="H100" i="1" s="1"/>
  <c r="I100" i="1" s="1"/>
  <c r="B103" i="1" s="1"/>
  <c r="B104" i="1" s="1"/>
</calcChain>
</file>

<file path=xl/sharedStrings.xml><?xml version="1.0" encoding="utf-8"?>
<sst xmlns="http://schemas.openxmlformats.org/spreadsheetml/2006/main" count="17" uniqueCount="16">
  <si>
    <t>Date</t>
  </si>
  <si>
    <t>Match</t>
  </si>
  <si>
    <t>Bet Type</t>
  </si>
  <si>
    <t>Odds</t>
  </si>
  <si>
    <t>Kelly %</t>
  </si>
  <si>
    <t>Stake Amount</t>
  </si>
  <si>
    <t>Result</t>
  </si>
  <si>
    <t>Profit/Loss (after tax)</t>
  </si>
  <si>
    <t>Final Bankroll:</t>
  </si>
  <si>
    <t>Total Profit:</t>
  </si>
  <si>
    <t>Mexico vs South Africa</t>
  </si>
  <si>
    <t>Under 2.5</t>
  </si>
  <si>
    <t>Win</t>
  </si>
  <si>
    <t>South Korea vs Czechia</t>
  </si>
  <si>
    <t>Canada vs Bosnia</t>
  </si>
  <si>
    <t>USA vs Paraguay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</si>
</sst>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workbookViewId="0">
      <selection activeCell="C1" sqref="C1:C1048576"/>
    </sheetView>
  </sheetViews>
  <sheetFormatPr defaultRowHeight="14.4" x14ac:dyDescent="0.3"/>
  <cols>
    <col min="1" max="1" width="12" customWidth="1"/>
    <col min="2" max="2" width="30" customWidth="1"/>
    <col min="3" max="3" width="15" style="5" customWidth="1"/>
    <col min="4" max="5" width="8" customWidth="1"/>
    <col min="6" max="6" width="14" customWidth="1"/>
    <col min="7" max="7" width="8" customWidth="1"/>
    <col min="8" max="8" width="19.109375" bestFit="1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18000</v>
      </c>
    </row>
    <row r="2" spans="1:9" x14ac:dyDescent="0.3">
      <c r="A2" s="4">
        <v>46184</v>
      </c>
      <c r="B2" t="s">
        <v>10</v>
      </c>
      <c r="C2" s="5" t="s">
        <v>11</v>
      </c>
      <c r="D2">
        <v>1.73</v>
      </c>
      <c r="E2">
        <v>4</v>
      </c>
      <c r="F2" s="2">
        <f t="shared" ref="F2:F33" si="0">E2*I1/100</f>
        <v>720</v>
      </c>
      <c r="G2" t="s">
        <v>12</v>
      </c>
      <c r="H2" s="2">
        <f t="shared" ref="H2:H33" si="1">IF(G2="Win", F2*(D2-1)*0.85, -F2)</f>
        <v>446.76</v>
      </c>
      <c r="I2" s="2">
        <f t="shared" ref="I2:I33" si="2">I1+H2</f>
        <v>18446.759999999998</v>
      </c>
    </row>
    <row r="3" spans="1:9" x14ac:dyDescent="0.3">
      <c r="A3" s="4">
        <v>46185</v>
      </c>
      <c r="B3" t="s">
        <v>13</v>
      </c>
      <c r="C3" s="5">
        <v>1</v>
      </c>
      <c r="D3">
        <v>2.7</v>
      </c>
      <c r="E3">
        <v>5.45</v>
      </c>
      <c r="F3" s="2">
        <v>1000</v>
      </c>
      <c r="G3" t="s">
        <v>12</v>
      </c>
      <c r="H3" s="2">
        <f t="shared" si="1"/>
        <v>1445.0000000000002</v>
      </c>
      <c r="I3" s="2">
        <f t="shared" si="2"/>
        <v>19891.759999999998</v>
      </c>
    </row>
    <row r="4" spans="1:9" x14ac:dyDescent="0.3">
      <c r="A4" s="4">
        <v>46185</v>
      </c>
      <c r="B4" t="s">
        <v>14</v>
      </c>
      <c r="C4" s="5">
        <v>1</v>
      </c>
      <c r="D4">
        <v>1.9</v>
      </c>
      <c r="E4">
        <v>12.4</v>
      </c>
      <c r="F4" s="2">
        <f t="shared" si="0"/>
        <v>2466.5782399999998</v>
      </c>
      <c r="H4" s="2">
        <f t="shared" si="1"/>
        <v>-2466.5782399999998</v>
      </c>
      <c r="I4" s="2">
        <f t="shared" si="2"/>
        <v>17425.181759999999</v>
      </c>
    </row>
    <row r="5" spans="1:9" x14ac:dyDescent="0.3">
      <c r="A5" s="4">
        <v>46186</v>
      </c>
      <c r="B5" t="s">
        <v>15</v>
      </c>
      <c r="C5" s="5">
        <v>2</v>
      </c>
      <c r="D5">
        <v>3.75</v>
      </c>
      <c r="E5">
        <v>8.8000000000000007</v>
      </c>
      <c r="F5" s="2">
        <f t="shared" si="0"/>
        <v>1533.41599488</v>
      </c>
      <c r="H5" s="2">
        <f t="shared" si="1"/>
        <v>-1533.41599488</v>
      </c>
      <c r="I5" s="2">
        <f t="shared" si="2"/>
        <v>15891.765765119999</v>
      </c>
    </row>
    <row r="6" spans="1:9" x14ac:dyDescent="0.3">
      <c r="F6" s="2">
        <f t="shared" si="0"/>
        <v>0</v>
      </c>
      <c r="H6" s="2">
        <f t="shared" si="1"/>
        <v>0</v>
      </c>
      <c r="I6" s="2">
        <f t="shared" si="2"/>
        <v>15891.765765119999</v>
      </c>
    </row>
    <row r="7" spans="1:9" x14ac:dyDescent="0.3">
      <c r="F7" s="2">
        <f t="shared" si="0"/>
        <v>0</v>
      </c>
      <c r="H7" s="2">
        <f t="shared" si="1"/>
        <v>0</v>
      </c>
      <c r="I7" s="2">
        <f t="shared" si="2"/>
        <v>15891.765765119999</v>
      </c>
    </row>
    <row r="8" spans="1:9" x14ac:dyDescent="0.3">
      <c r="F8" s="2">
        <f t="shared" si="0"/>
        <v>0</v>
      </c>
      <c r="H8" s="2">
        <f t="shared" si="1"/>
        <v>0</v>
      </c>
      <c r="I8" s="2">
        <f t="shared" si="2"/>
        <v>15891.765765119999</v>
      </c>
    </row>
    <row r="9" spans="1:9" x14ac:dyDescent="0.3">
      <c r="F9" s="2">
        <f t="shared" si="0"/>
        <v>0</v>
      </c>
      <c r="H9" s="2">
        <f t="shared" si="1"/>
        <v>0</v>
      </c>
      <c r="I9" s="2">
        <f t="shared" si="2"/>
        <v>15891.765765119999</v>
      </c>
    </row>
    <row r="10" spans="1:9" x14ac:dyDescent="0.3">
      <c r="F10" s="2">
        <f t="shared" si="0"/>
        <v>0</v>
      </c>
      <c r="H10" s="2">
        <f t="shared" si="1"/>
        <v>0</v>
      </c>
      <c r="I10" s="2">
        <f t="shared" si="2"/>
        <v>15891.765765119999</v>
      </c>
    </row>
    <row r="11" spans="1:9" x14ac:dyDescent="0.3">
      <c r="F11" s="2">
        <f t="shared" si="0"/>
        <v>0</v>
      </c>
      <c r="H11" s="2">
        <f t="shared" si="1"/>
        <v>0</v>
      </c>
      <c r="I11" s="2">
        <f t="shared" si="2"/>
        <v>15891.765765119999</v>
      </c>
    </row>
    <row r="12" spans="1:9" x14ac:dyDescent="0.3">
      <c r="F12" s="2">
        <f t="shared" si="0"/>
        <v>0</v>
      </c>
      <c r="H12" s="2">
        <f t="shared" si="1"/>
        <v>0</v>
      </c>
      <c r="I12" s="2">
        <f t="shared" si="2"/>
        <v>15891.765765119999</v>
      </c>
    </row>
    <row r="13" spans="1:9" x14ac:dyDescent="0.3">
      <c r="F13" s="2">
        <f t="shared" si="0"/>
        <v>0</v>
      </c>
      <c r="H13" s="2">
        <f t="shared" si="1"/>
        <v>0</v>
      </c>
      <c r="I13" s="2">
        <f t="shared" si="2"/>
        <v>15891.765765119999</v>
      </c>
    </row>
    <row r="14" spans="1:9" x14ac:dyDescent="0.3">
      <c r="F14" s="2">
        <f t="shared" si="0"/>
        <v>0</v>
      </c>
      <c r="H14" s="2">
        <f t="shared" si="1"/>
        <v>0</v>
      </c>
      <c r="I14" s="2">
        <f t="shared" si="2"/>
        <v>15891.765765119999</v>
      </c>
    </row>
    <row r="15" spans="1:9" x14ac:dyDescent="0.3">
      <c r="F15" s="2">
        <f t="shared" si="0"/>
        <v>0</v>
      </c>
      <c r="H15" s="2">
        <f t="shared" si="1"/>
        <v>0</v>
      </c>
      <c r="I15" s="2">
        <f t="shared" si="2"/>
        <v>15891.765765119999</v>
      </c>
    </row>
    <row r="16" spans="1:9" x14ac:dyDescent="0.3">
      <c r="F16" s="2">
        <f t="shared" si="0"/>
        <v>0</v>
      </c>
      <c r="H16" s="2">
        <f t="shared" si="1"/>
        <v>0</v>
      </c>
      <c r="I16" s="2">
        <f t="shared" si="2"/>
        <v>15891.765765119999</v>
      </c>
    </row>
    <row r="17" spans="6:9" x14ac:dyDescent="0.3">
      <c r="F17" s="2">
        <f t="shared" si="0"/>
        <v>0</v>
      </c>
      <c r="H17" s="2">
        <f t="shared" si="1"/>
        <v>0</v>
      </c>
      <c r="I17" s="2">
        <f t="shared" si="2"/>
        <v>15891.765765119999</v>
      </c>
    </row>
    <row r="18" spans="6:9" x14ac:dyDescent="0.3">
      <c r="F18" s="2">
        <f t="shared" si="0"/>
        <v>0</v>
      </c>
      <c r="H18" s="2">
        <f t="shared" si="1"/>
        <v>0</v>
      </c>
      <c r="I18" s="2">
        <f t="shared" si="2"/>
        <v>15891.765765119999</v>
      </c>
    </row>
    <row r="19" spans="6:9" x14ac:dyDescent="0.3">
      <c r="F19" s="2">
        <f t="shared" si="0"/>
        <v>0</v>
      </c>
      <c r="H19" s="2">
        <f t="shared" si="1"/>
        <v>0</v>
      </c>
      <c r="I19" s="2">
        <f t="shared" si="2"/>
        <v>15891.765765119999</v>
      </c>
    </row>
    <row r="20" spans="6:9" x14ac:dyDescent="0.3">
      <c r="F20" s="2">
        <f t="shared" si="0"/>
        <v>0</v>
      </c>
      <c r="H20" s="2">
        <f t="shared" si="1"/>
        <v>0</v>
      </c>
      <c r="I20" s="2">
        <f t="shared" si="2"/>
        <v>15891.765765119999</v>
      </c>
    </row>
    <row r="21" spans="6:9" x14ac:dyDescent="0.3">
      <c r="F21" s="2">
        <f t="shared" si="0"/>
        <v>0</v>
      </c>
      <c r="H21" s="2">
        <f t="shared" si="1"/>
        <v>0</v>
      </c>
      <c r="I21" s="2">
        <f t="shared" si="2"/>
        <v>15891.765765119999</v>
      </c>
    </row>
    <row r="22" spans="6:9" x14ac:dyDescent="0.3">
      <c r="F22" s="2">
        <f t="shared" si="0"/>
        <v>0</v>
      </c>
      <c r="H22" s="2">
        <f t="shared" si="1"/>
        <v>0</v>
      </c>
      <c r="I22" s="2">
        <f t="shared" si="2"/>
        <v>15891.765765119999</v>
      </c>
    </row>
    <row r="23" spans="6:9" x14ac:dyDescent="0.3">
      <c r="F23" s="2">
        <f t="shared" si="0"/>
        <v>0</v>
      </c>
      <c r="H23" s="2">
        <f t="shared" si="1"/>
        <v>0</v>
      </c>
      <c r="I23" s="2">
        <f t="shared" si="2"/>
        <v>15891.765765119999</v>
      </c>
    </row>
    <row r="24" spans="6:9" x14ac:dyDescent="0.3">
      <c r="F24" s="2">
        <f t="shared" si="0"/>
        <v>0</v>
      </c>
      <c r="H24" s="2">
        <f t="shared" si="1"/>
        <v>0</v>
      </c>
      <c r="I24" s="2">
        <f t="shared" si="2"/>
        <v>15891.765765119999</v>
      </c>
    </row>
    <row r="25" spans="6:9" x14ac:dyDescent="0.3">
      <c r="F25" s="2">
        <f t="shared" si="0"/>
        <v>0</v>
      </c>
      <c r="H25" s="2">
        <f t="shared" si="1"/>
        <v>0</v>
      </c>
      <c r="I25" s="2">
        <f t="shared" si="2"/>
        <v>15891.765765119999</v>
      </c>
    </row>
    <row r="26" spans="6:9" x14ac:dyDescent="0.3">
      <c r="F26" s="2">
        <f t="shared" si="0"/>
        <v>0</v>
      </c>
      <c r="H26" s="2">
        <f t="shared" si="1"/>
        <v>0</v>
      </c>
      <c r="I26" s="2">
        <f t="shared" si="2"/>
        <v>15891.765765119999</v>
      </c>
    </row>
    <row r="27" spans="6:9" x14ac:dyDescent="0.3">
      <c r="F27" s="2">
        <f t="shared" si="0"/>
        <v>0</v>
      </c>
      <c r="H27" s="2">
        <f t="shared" si="1"/>
        <v>0</v>
      </c>
      <c r="I27" s="2">
        <f t="shared" si="2"/>
        <v>15891.765765119999</v>
      </c>
    </row>
    <row r="28" spans="6:9" x14ac:dyDescent="0.3">
      <c r="F28" s="2">
        <f t="shared" si="0"/>
        <v>0</v>
      </c>
      <c r="H28" s="2">
        <f t="shared" si="1"/>
        <v>0</v>
      </c>
      <c r="I28" s="2">
        <f t="shared" si="2"/>
        <v>15891.765765119999</v>
      </c>
    </row>
    <row r="29" spans="6:9" x14ac:dyDescent="0.3">
      <c r="F29" s="2">
        <f t="shared" si="0"/>
        <v>0</v>
      </c>
      <c r="H29" s="2">
        <f t="shared" si="1"/>
        <v>0</v>
      </c>
      <c r="I29" s="2">
        <f t="shared" si="2"/>
        <v>15891.765765119999</v>
      </c>
    </row>
    <row r="30" spans="6:9" x14ac:dyDescent="0.3">
      <c r="F30" s="2">
        <f t="shared" si="0"/>
        <v>0</v>
      </c>
      <c r="H30" s="2">
        <f t="shared" si="1"/>
        <v>0</v>
      </c>
      <c r="I30" s="2">
        <f t="shared" si="2"/>
        <v>15891.765765119999</v>
      </c>
    </row>
    <row r="31" spans="6:9" x14ac:dyDescent="0.3">
      <c r="F31" s="2">
        <f t="shared" si="0"/>
        <v>0</v>
      </c>
      <c r="H31" s="2">
        <f t="shared" si="1"/>
        <v>0</v>
      </c>
      <c r="I31" s="2">
        <f t="shared" si="2"/>
        <v>15891.765765119999</v>
      </c>
    </row>
    <row r="32" spans="6:9" x14ac:dyDescent="0.3">
      <c r="F32" s="2">
        <f t="shared" si="0"/>
        <v>0</v>
      </c>
      <c r="H32" s="2">
        <f t="shared" si="1"/>
        <v>0</v>
      </c>
      <c r="I32" s="2">
        <f t="shared" si="2"/>
        <v>15891.765765119999</v>
      </c>
    </row>
    <row r="33" spans="6:9" x14ac:dyDescent="0.3">
      <c r="F33" s="2">
        <f t="shared" si="0"/>
        <v>0</v>
      </c>
      <c r="H33" s="2">
        <f t="shared" si="1"/>
        <v>0</v>
      </c>
      <c r="I33" s="2">
        <f t="shared" si="2"/>
        <v>15891.765765119999</v>
      </c>
    </row>
    <row r="34" spans="6:9" x14ac:dyDescent="0.3">
      <c r="F34" s="2">
        <f t="shared" ref="F34:F65" si="3">E34*I33/100</f>
        <v>0</v>
      </c>
      <c r="H34" s="2">
        <f t="shared" ref="H34:H65" si="4">IF(G34="Win", F34*(D34-1)*0.85, -F34)</f>
        <v>0</v>
      </c>
      <c r="I34" s="2">
        <f t="shared" ref="I34:I65" si="5">I33+H34</f>
        <v>15891.765765119999</v>
      </c>
    </row>
    <row r="35" spans="6:9" x14ac:dyDescent="0.3">
      <c r="F35" s="2">
        <f t="shared" si="3"/>
        <v>0</v>
      </c>
      <c r="H35" s="2">
        <f t="shared" si="4"/>
        <v>0</v>
      </c>
      <c r="I35" s="2">
        <f t="shared" si="5"/>
        <v>15891.765765119999</v>
      </c>
    </row>
    <row r="36" spans="6:9" x14ac:dyDescent="0.3">
      <c r="F36" s="2">
        <f t="shared" si="3"/>
        <v>0</v>
      </c>
      <c r="H36" s="2">
        <f t="shared" si="4"/>
        <v>0</v>
      </c>
      <c r="I36" s="2">
        <f t="shared" si="5"/>
        <v>15891.765765119999</v>
      </c>
    </row>
    <row r="37" spans="6:9" x14ac:dyDescent="0.3">
      <c r="F37" s="2">
        <f t="shared" si="3"/>
        <v>0</v>
      </c>
      <c r="H37" s="2">
        <f t="shared" si="4"/>
        <v>0</v>
      </c>
      <c r="I37" s="2">
        <f t="shared" si="5"/>
        <v>15891.765765119999</v>
      </c>
    </row>
    <row r="38" spans="6:9" x14ac:dyDescent="0.3">
      <c r="F38" s="2">
        <f t="shared" si="3"/>
        <v>0</v>
      </c>
      <c r="H38" s="2">
        <f t="shared" si="4"/>
        <v>0</v>
      </c>
      <c r="I38" s="2">
        <f t="shared" si="5"/>
        <v>15891.765765119999</v>
      </c>
    </row>
    <row r="39" spans="6:9" x14ac:dyDescent="0.3">
      <c r="F39" s="2">
        <f t="shared" si="3"/>
        <v>0</v>
      </c>
      <c r="H39" s="2">
        <f t="shared" si="4"/>
        <v>0</v>
      </c>
      <c r="I39" s="2">
        <f t="shared" si="5"/>
        <v>15891.765765119999</v>
      </c>
    </row>
    <row r="40" spans="6:9" x14ac:dyDescent="0.3">
      <c r="F40" s="2">
        <f t="shared" si="3"/>
        <v>0</v>
      </c>
      <c r="H40" s="2">
        <f t="shared" si="4"/>
        <v>0</v>
      </c>
      <c r="I40" s="2">
        <f t="shared" si="5"/>
        <v>15891.765765119999</v>
      </c>
    </row>
    <row r="41" spans="6:9" x14ac:dyDescent="0.3">
      <c r="F41" s="2">
        <f t="shared" si="3"/>
        <v>0</v>
      </c>
      <c r="H41" s="2">
        <f t="shared" si="4"/>
        <v>0</v>
      </c>
      <c r="I41" s="2">
        <f t="shared" si="5"/>
        <v>15891.765765119999</v>
      </c>
    </row>
    <row r="42" spans="6:9" x14ac:dyDescent="0.3">
      <c r="F42" s="2">
        <f t="shared" si="3"/>
        <v>0</v>
      </c>
      <c r="H42" s="2">
        <f t="shared" si="4"/>
        <v>0</v>
      </c>
      <c r="I42" s="2">
        <f t="shared" si="5"/>
        <v>15891.765765119999</v>
      </c>
    </row>
    <row r="43" spans="6:9" x14ac:dyDescent="0.3">
      <c r="F43" s="2">
        <f t="shared" si="3"/>
        <v>0</v>
      </c>
      <c r="H43" s="2">
        <f t="shared" si="4"/>
        <v>0</v>
      </c>
      <c r="I43" s="2">
        <f t="shared" si="5"/>
        <v>15891.765765119999</v>
      </c>
    </row>
    <row r="44" spans="6:9" x14ac:dyDescent="0.3">
      <c r="F44" s="2">
        <f t="shared" si="3"/>
        <v>0</v>
      </c>
      <c r="H44" s="2">
        <f t="shared" si="4"/>
        <v>0</v>
      </c>
      <c r="I44" s="2">
        <f t="shared" si="5"/>
        <v>15891.765765119999</v>
      </c>
    </row>
    <row r="45" spans="6:9" x14ac:dyDescent="0.3">
      <c r="F45" s="2">
        <f t="shared" si="3"/>
        <v>0</v>
      </c>
      <c r="H45" s="2">
        <f t="shared" si="4"/>
        <v>0</v>
      </c>
      <c r="I45" s="2">
        <f t="shared" si="5"/>
        <v>15891.765765119999</v>
      </c>
    </row>
    <row r="46" spans="6:9" x14ac:dyDescent="0.3">
      <c r="F46" s="2">
        <f t="shared" si="3"/>
        <v>0</v>
      </c>
      <c r="H46" s="2">
        <f t="shared" si="4"/>
        <v>0</v>
      </c>
      <c r="I46" s="2">
        <f t="shared" si="5"/>
        <v>15891.765765119999</v>
      </c>
    </row>
    <row r="47" spans="6:9" x14ac:dyDescent="0.3">
      <c r="F47" s="2">
        <f t="shared" si="3"/>
        <v>0</v>
      </c>
      <c r="H47" s="2">
        <f t="shared" si="4"/>
        <v>0</v>
      </c>
      <c r="I47" s="2">
        <f t="shared" si="5"/>
        <v>15891.765765119999</v>
      </c>
    </row>
    <row r="48" spans="6:9" x14ac:dyDescent="0.3">
      <c r="F48" s="2">
        <f t="shared" si="3"/>
        <v>0</v>
      </c>
      <c r="H48" s="2">
        <f t="shared" si="4"/>
        <v>0</v>
      </c>
      <c r="I48" s="2">
        <f t="shared" si="5"/>
        <v>15891.765765119999</v>
      </c>
    </row>
    <row r="49" spans="6:9" x14ac:dyDescent="0.3">
      <c r="F49" s="2">
        <f t="shared" si="3"/>
        <v>0</v>
      </c>
      <c r="H49" s="2">
        <f t="shared" si="4"/>
        <v>0</v>
      </c>
      <c r="I49" s="2">
        <f t="shared" si="5"/>
        <v>15891.765765119999</v>
      </c>
    </row>
    <row r="50" spans="6:9" x14ac:dyDescent="0.3">
      <c r="F50" s="2">
        <f t="shared" si="3"/>
        <v>0</v>
      </c>
      <c r="H50" s="2">
        <f t="shared" si="4"/>
        <v>0</v>
      </c>
      <c r="I50" s="2">
        <f t="shared" si="5"/>
        <v>15891.765765119999</v>
      </c>
    </row>
    <row r="51" spans="6:9" x14ac:dyDescent="0.3">
      <c r="F51" s="2">
        <f t="shared" si="3"/>
        <v>0</v>
      </c>
      <c r="H51" s="2">
        <f t="shared" si="4"/>
        <v>0</v>
      </c>
      <c r="I51" s="2">
        <f t="shared" si="5"/>
        <v>15891.765765119999</v>
      </c>
    </row>
    <row r="52" spans="6:9" x14ac:dyDescent="0.3">
      <c r="F52" s="2">
        <f t="shared" si="3"/>
        <v>0</v>
      </c>
      <c r="H52" s="2">
        <f t="shared" si="4"/>
        <v>0</v>
      </c>
      <c r="I52" s="2">
        <f t="shared" si="5"/>
        <v>15891.765765119999</v>
      </c>
    </row>
    <row r="53" spans="6:9" x14ac:dyDescent="0.3">
      <c r="F53" s="2">
        <f t="shared" si="3"/>
        <v>0</v>
      </c>
      <c r="H53" s="2">
        <f t="shared" si="4"/>
        <v>0</v>
      </c>
      <c r="I53" s="2">
        <f t="shared" si="5"/>
        <v>15891.765765119999</v>
      </c>
    </row>
    <row r="54" spans="6:9" x14ac:dyDescent="0.3">
      <c r="F54" s="2">
        <f t="shared" si="3"/>
        <v>0</v>
      </c>
      <c r="H54" s="2">
        <f t="shared" si="4"/>
        <v>0</v>
      </c>
      <c r="I54" s="2">
        <f t="shared" si="5"/>
        <v>15891.765765119999</v>
      </c>
    </row>
    <row r="55" spans="6:9" x14ac:dyDescent="0.3">
      <c r="F55" s="2">
        <f t="shared" si="3"/>
        <v>0</v>
      </c>
      <c r="H55" s="2">
        <f t="shared" si="4"/>
        <v>0</v>
      </c>
      <c r="I55" s="2">
        <f t="shared" si="5"/>
        <v>15891.765765119999</v>
      </c>
    </row>
    <row r="56" spans="6:9" x14ac:dyDescent="0.3">
      <c r="F56" s="2">
        <f t="shared" si="3"/>
        <v>0</v>
      </c>
      <c r="H56" s="2">
        <f t="shared" si="4"/>
        <v>0</v>
      </c>
      <c r="I56" s="2">
        <f t="shared" si="5"/>
        <v>15891.765765119999</v>
      </c>
    </row>
    <row r="57" spans="6:9" x14ac:dyDescent="0.3">
      <c r="F57" s="2">
        <f t="shared" si="3"/>
        <v>0</v>
      </c>
      <c r="H57" s="2">
        <f t="shared" si="4"/>
        <v>0</v>
      </c>
      <c r="I57" s="2">
        <f t="shared" si="5"/>
        <v>15891.765765119999</v>
      </c>
    </row>
    <row r="58" spans="6:9" x14ac:dyDescent="0.3">
      <c r="F58" s="2">
        <f t="shared" si="3"/>
        <v>0</v>
      </c>
      <c r="H58" s="2">
        <f t="shared" si="4"/>
        <v>0</v>
      </c>
      <c r="I58" s="2">
        <f t="shared" si="5"/>
        <v>15891.765765119999</v>
      </c>
    </row>
    <row r="59" spans="6:9" x14ac:dyDescent="0.3">
      <c r="F59" s="2">
        <f t="shared" si="3"/>
        <v>0</v>
      </c>
      <c r="H59" s="2">
        <f t="shared" si="4"/>
        <v>0</v>
      </c>
      <c r="I59" s="2">
        <f t="shared" si="5"/>
        <v>15891.765765119999</v>
      </c>
    </row>
    <row r="60" spans="6:9" x14ac:dyDescent="0.3">
      <c r="F60" s="2">
        <f t="shared" si="3"/>
        <v>0</v>
      </c>
      <c r="H60" s="2">
        <f t="shared" si="4"/>
        <v>0</v>
      </c>
      <c r="I60" s="2">
        <f t="shared" si="5"/>
        <v>15891.765765119999</v>
      </c>
    </row>
    <row r="61" spans="6:9" x14ac:dyDescent="0.3">
      <c r="F61" s="2">
        <f t="shared" si="3"/>
        <v>0</v>
      </c>
      <c r="H61" s="2">
        <f t="shared" si="4"/>
        <v>0</v>
      </c>
      <c r="I61" s="2">
        <f t="shared" si="5"/>
        <v>15891.765765119999</v>
      </c>
    </row>
    <row r="62" spans="6:9" x14ac:dyDescent="0.3">
      <c r="F62" s="2">
        <f t="shared" si="3"/>
        <v>0</v>
      </c>
      <c r="H62" s="2">
        <f t="shared" si="4"/>
        <v>0</v>
      </c>
      <c r="I62" s="2">
        <f t="shared" si="5"/>
        <v>15891.765765119999</v>
      </c>
    </row>
    <row r="63" spans="6:9" x14ac:dyDescent="0.3">
      <c r="F63" s="2">
        <f t="shared" si="3"/>
        <v>0</v>
      </c>
      <c r="H63" s="2">
        <f t="shared" si="4"/>
        <v>0</v>
      </c>
      <c r="I63" s="2">
        <f t="shared" si="5"/>
        <v>15891.765765119999</v>
      </c>
    </row>
    <row r="64" spans="6:9" x14ac:dyDescent="0.3">
      <c r="F64" s="2">
        <f t="shared" si="3"/>
        <v>0</v>
      </c>
      <c r="H64" s="2">
        <f t="shared" si="4"/>
        <v>0</v>
      </c>
      <c r="I64" s="2">
        <f t="shared" si="5"/>
        <v>15891.765765119999</v>
      </c>
    </row>
    <row r="65" spans="6:9" x14ac:dyDescent="0.3">
      <c r="F65" s="2">
        <f t="shared" si="3"/>
        <v>0</v>
      </c>
      <c r="H65" s="2">
        <f t="shared" si="4"/>
        <v>0</v>
      </c>
      <c r="I65" s="2">
        <f t="shared" si="5"/>
        <v>15891.765765119999</v>
      </c>
    </row>
    <row r="66" spans="6:9" x14ac:dyDescent="0.3">
      <c r="F66" s="2">
        <f t="shared" ref="F66:F97" si="6">E66*I65/100</f>
        <v>0</v>
      </c>
      <c r="H66" s="2">
        <f t="shared" ref="H66:H97" si="7">IF(G66="Win", F66*(D66-1)*0.85, -F66)</f>
        <v>0</v>
      </c>
      <c r="I66" s="2">
        <f t="shared" ref="I66:I97" si="8">I65+H66</f>
        <v>15891.765765119999</v>
      </c>
    </row>
    <row r="67" spans="6:9" x14ac:dyDescent="0.3">
      <c r="F67" s="2">
        <f t="shared" si="6"/>
        <v>0</v>
      </c>
      <c r="H67" s="2">
        <f t="shared" si="7"/>
        <v>0</v>
      </c>
      <c r="I67" s="2">
        <f t="shared" si="8"/>
        <v>15891.765765119999</v>
      </c>
    </row>
    <row r="68" spans="6:9" x14ac:dyDescent="0.3">
      <c r="F68" s="2">
        <f t="shared" si="6"/>
        <v>0</v>
      </c>
      <c r="H68" s="2">
        <f t="shared" si="7"/>
        <v>0</v>
      </c>
      <c r="I68" s="2">
        <f t="shared" si="8"/>
        <v>15891.765765119999</v>
      </c>
    </row>
    <row r="69" spans="6:9" x14ac:dyDescent="0.3">
      <c r="F69" s="2">
        <f t="shared" si="6"/>
        <v>0</v>
      </c>
      <c r="H69" s="2">
        <f t="shared" si="7"/>
        <v>0</v>
      </c>
      <c r="I69" s="2">
        <f t="shared" si="8"/>
        <v>15891.765765119999</v>
      </c>
    </row>
    <row r="70" spans="6:9" x14ac:dyDescent="0.3">
      <c r="F70" s="2">
        <f t="shared" si="6"/>
        <v>0</v>
      </c>
      <c r="H70" s="2">
        <f t="shared" si="7"/>
        <v>0</v>
      </c>
      <c r="I70" s="2">
        <f t="shared" si="8"/>
        <v>15891.765765119999</v>
      </c>
    </row>
    <row r="71" spans="6:9" x14ac:dyDescent="0.3">
      <c r="F71" s="2">
        <f t="shared" si="6"/>
        <v>0</v>
      </c>
      <c r="H71" s="2">
        <f t="shared" si="7"/>
        <v>0</v>
      </c>
      <c r="I71" s="2">
        <f t="shared" si="8"/>
        <v>15891.765765119999</v>
      </c>
    </row>
    <row r="72" spans="6:9" x14ac:dyDescent="0.3">
      <c r="F72" s="2">
        <f t="shared" si="6"/>
        <v>0</v>
      </c>
      <c r="H72" s="2">
        <f t="shared" si="7"/>
        <v>0</v>
      </c>
      <c r="I72" s="2">
        <f t="shared" si="8"/>
        <v>15891.765765119999</v>
      </c>
    </row>
    <row r="73" spans="6:9" x14ac:dyDescent="0.3">
      <c r="F73" s="2">
        <f t="shared" si="6"/>
        <v>0</v>
      </c>
      <c r="H73" s="2">
        <f t="shared" si="7"/>
        <v>0</v>
      </c>
      <c r="I73" s="2">
        <f t="shared" si="8"/>
        <v>15891.765765119999</v>
      </c>
    </row>
    <row r="74" spans="6:9" x14ac:dyDescent="0.3">
      <c r="F74" s="2">
        <f t="shared" si="6"/>
        <v>0</v>
      </c>
      <c r="H74" s="2">
        <f t="shared" si="7"/>
        <v>0</v>
      </c>
      <c r="I74" s="2">
        <f t="shared" si="8"/>
        <v>15891.765765119999</v>
      </c>
    </row>
    <row r="75" spans="6:9" x14ac:dyDescent="0.3">
      <c r="F75" s="2">
        <f t="shared" si="6"/>
        <v>0</v>
      </c>
      <c r="H75" s="2">
        <f t="shared" si="7"/>
        <v>0</v>
      </c>
      <c r="I75" s="2">
        <f t="shared" si="8"/>
        <v>15891.765765119999</v>
      </c>
    </row>
    <row r="76" spans="6:9" x14ac:dyDescent="0.3">
      <c r="F76" s="2">
        <f t="shared" si="6"/>
        <v>0</v>
      </c>
      <c r="H76" s="2">
        <f t="shared" si="7"/>
        <v>0</v>
      </c>
      <c r="I76" s="2">
        <f t="shared" si="8"/>
        <v>15891.765765119999</v>
      </c>
    </row>
    <row r="77" spans="6:9" x14ac:dyDescent="0.3">
      <c r="F77" s="2">
        <f t="shared" si="6"/>
        <v>0</v>
      </c>
      <c r="H77" s="2">
        <f t="shared" si="7"/>
        <v>0</v>
      </c>
      <c r="I77" s="2">
        <f t="shared" si="8"/>
        <v>15891.765765119999</v>
      </c>
    </row>
    <row r="78" spans="6:9" x14ac:dyDescent="0.3">
      <c r="F78" s="2">
        <f t="shared" si="6"/>
        <v>0</v>
      </c>
      <c r="H78" s="2">
        <f t="shared" si="7"/>
        <v>0</v>
      </c>
      <c r="I78" s="2">
        <f t="shared" si="8"/>
        <v>15891.765765119999</v>
      </c>
    </row>
    <row r="79" spans="6:9" x14ac:dyDescent="0.3">
      <c r="F79" s="2">
        <f t="shared" si="6"/>
        <v>0</v>
      </c>
      <c r="H79" s="2">
        <f t="shared" si="7"/>
        <v>0</v>
      </c>
      <c r="I79" s="2">
        <f t="shared" si="8"/>
        <v>15891.765765119999</v>
      </c>
    </row>
    <row r="80" spans="6:9" x14ac:dyDescent="0.3">
      <c r="F80" s="2">
        <f t="shared" si="6"/>
        <v>0</v>
      </c>
      <c r="H80" s="2">
        <f t="shared" si="7"/>
        <v>0</v>
      </c>
      <c r="I80" s="2">
        <f t="shared" si="8"/>
        <v>15891.765765119999</v>
      </c>
    </row>
    <row r="81" spans="6:9" x14ac:dyDescent="0.3">
      <c r="F81" s="2">
        <f t="shared" si="6"/>
        <v>0</v>
      </c>
      <c r="H81" s="2">
        <f t="shared" si="7"/>
        <v>0</v>
      </c>
      <c r="I81" s="2">
        <f t="shared" si="8"/>
        <v>15891.765765119999</v>
      </c>
    </row>
    <row r="82" spans="6:9" x14ac:dyDescent="0.3">
      <c r="F82" s="2">
        <f t="shared" si="6"/>
        <v>0</v>
      </c>
      <c r="H82" s="2">
        <f t="shared" si="7"/>
        <v>0</v>
      </c>
      <c r="I82" s="2">
        <f t="shared" si="8"/>
        <v>15891.765765119999</v>
      </c>
    </row>
    <row r="83" spans="6:9" x14ac:dyDescent="0.3">
      <c r="F83" s="2">
        <f t="shared" si="6"/>
        <v>0</v>
      </c>
      <c r="H83" s="2">
        <f t="shared" si="7"/>
        <v>0</v>
      </c>
      <c r="I83" s="2">
        <f t="shared" si="8"/>
        <v>15891.765765119999</v>
      </c>
    </row>
    <row r="84" spans="6:9" x14ac:dyDescent="0.3">
      <c r="F84" s="2">
        <f t="shared" si="6"/>
        <v>0</v>
      </c>
      <c r="H84" s="2">
        <f t="shared" si="7"/>
        <v>0</v>
      </c>
      <c r="I84" s="2">
        <f t="shared" si="8"/>
        <v>15891.765765119999</v>
      </c>
    </row>
    <row r="85" spans="6:9" x14ac:dyDescent="0.3">
      <c r="F85" s="2">
        <f t="shared" si="6"/>
        <v>0</v>
      </c>
      <c r="H85" s="2">
        <f t="shared" si="7"/>
        <v>0</v>
      </c>
      <c r="I85" s="2">
        <f t="shared" si="8"/>
        <v>15891.765765119999</v>
      </c>
    </row>
    <row r="86" spans="6:9" x14ac:dyDescent="0.3">
      <c r="F86" s="2">
        <f t="shared" si="6"/>
        <v>0</v>
      </c>
      <c r="H86" s="2">
        <f t="shared" si="7"/>
        <v>0</v>
      </c>
      <c r="I86" s="2">
        <f t="shared" si="8"/>
        <v>15891.765765119999</v>
      </c>
    </row>
    <row r="87" spans="6:9" x14ac:dyDescent="0.3">
      <c r="F87" s="2">
        <f t="shared" si="6"/>
        <v>0</v>
      </c>
      <c r="H87" s="2">
        <f t="shared" si="7"/>
        <v>0</v>
      </c>
      <c r="I87" s="2">
        <f t="shared" si="8"/>
        <v>15891.765765119999</v>
      </c>
    </row>
    <row r="88" spans="6:9" x14ac:dyDescent="0.3">
      <c r="F88" s="2">
        <f t="shared" si="6"/>
        <v>0</v>
      </c>
      <c r="H88" s="2">
        <f t="shared" si="7"/>
        <v>0</v>
      </c>
      <c r="I88" s="2">
        <f t="shared" si="8"/>
        <v>15891.765765119999</v>
      </c>
    </row>
    <row r="89" spans="6:9" x14ac:dyDescent="0.3">
      <c r="F89" s="2">
        <f t="shared" si="6"/>
        <v>0</v>
      </c>
      <c r="H89" s="2">
        <f t="shared" si="7"/>
        <v>0</v>
      </c>
      <c r="I89" s="2">
        <f t="shared" si="8"/>
        <v>15891.765765119999</v>
      </c>
    </row>
    <row r="90" spans="6:9" x14ac:dyDescent="0.3">
      <c r="F90" s="2">
        <f t="shared" si="6"/>
        <v>0</v>
      </c>
      <c r="H90" s="2">
        <f t="shared" si="7"/>
        <v>0</v>
      </c>
      <c r="I90" s="2">
        <f t="shared" si="8"/>
        <v>15891.765765119999</v>
      </c>
    </row>
    <row r="91" spans="6:9" x14ac:dyDescent="0.3">
      <c r="F91" s="2">
        <f t="shared" si="6"/>
        <v>0</v>
      </c>
      <c r="H91" s="2">
        <f t="shared" si="7"/>
        <v>0</v>
      </c>
      <c r="I91" s="2">
        <f t="shared" si="8"/>
        <v>15891.765765119999</v>
      </c>
    </row>
    <row r="92" spans="6:9" x14ac:dyDescent="0.3">
      <c r="F92" s="2">
        <f t="shared" si="6"/>
        <v>0</v>
      </c>
      <c r="H92" s="2">
        <f t="shared" si="7"/>
        <v>0</v>
      </c>
      <c r="I92" s="2">
        <f t="shared" si="8"/>
        <v>15891.765765119999</v>
      </c>
    </row>
    <row r="93" spans="6:9" x14ac:dyDescent="0.3">
      <c r="F93" s="2">
        <f t="shared" si="6"/>
        <v>0</v>
      </c>
      <c r="H93" s="2">
        <f t="shared" si="7"/>
        <v>0</v>
      </c>
      <c r="I93" s="2">
        <f t="shared" si="8"/>
        <v>15891.765765119999</v>
      </c>
    </row>
    <row r="94" spans="6:9" x14ac:dyDescent="0.3">
      <c r="F94" s="2">
        <f t="shared" si="6"/>
        <v>0</v>
      </c>
      <c r="H94" s="2">
        <f t="shared" si="7"/>
        <v>0</v>
      </c>
      <c r="I94" s="2">
        <f t="shared" si="8"/>
        <v>15891.765765119999</v>
      </c>
    </row>
    <row r="95" spans="6:9" x14ac:dyDescent="0.3">
      <c r="F95" s="2">
        <f t="shared" si="6"/>
        <v>0</v>
      </c>
      <c r="H95" s="2">
        <f t="shared" si="7"/>
        <v>0</v>
      </c>
      <c r="I95" s="2">
        <f t="shared" si="8"/>
        <v>15891.765765119999</v>
      </c>
    </row>
    <row r="96" spans="6:9" x14ac:dyDescent="0.3">
      <c r="F96" s="2">
        <f t="shared" si="6"/>
        <v>0</v>
      </c>
      <c r="H96" s="2">
        <f t="shared" si="7"/>
        <v>0</v>
      </c>
      <c r="I96" s="2">
        <f t="shared" si="8"/>
        <v>15891.765765119999</v>
      </c>
    </row>
    <row r="97" spans="1:9" x14ac:dyDescent="0.3">
      <c r="F97" s="2">
        <f t="shared" si="6"/>
        <v>0</v>
      </c>
      <c r="H97" s="2">
        <f t="shared" si="7"/>
        <v>0</v>
      </c>
      <c r="I97" s="2">
        <f t="shared" si="8"/>
        <v>15891.765765119999</v>
      </c>
    </row>
    <row r="98" spans="1:9" x14ac:dyDescent="0.3">
      <c r="F98" s="2">
        <f t="shared" ref="F98:F100" si="9">E98*I97/100</f>
        <v>0</v>
      </c>
      <c r="H98" s="2">
        <f t="shared" ref="H98:H100" si="10">IF(G98="Win", F98*(D98-1)*0.85, -F98)</f>
        <v>0</v>
      </c>
      <c r="I98" s="2">
        <f t="shared" ref="I98:I100" si="11">I97+H98</f>
        <v>15891.765765119999</v>
      </c>
    </row>
    <row r="99" spans="1:9" x14ac:dyDescent="0.3">
      <c r="F99" s="2">
        <f t="shared" si="9"/>
        <v>0</v>
      </c>
      <c r="H99" s="2">
        <f t="shared" si="10"/>
        <v>0</v>
      </c>
      <c r="I99" s="2">
        <f t="shared" si="11"/>
        <v>15891.765765119999</v>
      </c>
    </row>
    <row r="100" spans="1:9" x14ac:dyDescent="0.3">
      <c r="F100" s="2">
        <f t="shared" si="9"/>
        <v>0</v>
      </c>
      <c r="H100" s="2">
        <f t="shared" si="10"/>
        <v>0</v>
      </c>
      <c r="I100" s="2">
        <f t="shared" si="11"/>
        <v>15891.765765119999</v>
      </c>
    </row>
    <row r="103" spans="1:9" x14ac:dyDescent="0.3">
      <c r="A103" s="3" t="s">
        <v>8</v>
      </c>
      <c r="B103" s="2">
        <f>LOOKUP(2,1/(I2:I100&lt;&gt;""),I2:I100)</f>
        <v>15891.765765119999</v>
      </c>
    </row>
    <row r="104" spans="1:9" x14ac:dyDescent="0.3">
      <c r="A104" s="3" t="s">
        <v>9</v>
      </c>
      <c r="B104" s="2">
        <f>B103-18000</f>
        <v>-2108.2342348800012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Cup Bets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</cp:lastModifiedBy>
  <dcterms:created xsi:type="dcterms:W3CDTF">2026-06-11T23:11:08Z</dcterms:created>
  <dcterms:modified xsi:type="dcterms:W3CDTF">2026-06-12T16:42:35Z</dcterms:modified>
</cp:coreProperties>
</file>